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87718B95-7765-4AB5-8844-8ADE219D4F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w_Data" sheetId="1" r:id="rId1"/>
    <sheet name="financial_data_cleaned" sheetId="2" r:id="rId2"/>
  </sheets>
  <definedNames>
    <definedName name="ExternalData_1" localSheetId="1" hidden="1">financial_data_cleaned!$A$1:$K$26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37D448-2A0D-4C98-BA7E-5AB93816D400}" keepAlive="1" name="Query - financial_data_cleaned" description="Connection to the 'financial_data_cleaned' query in the workbook." type="5" refreshedVersion="8" background="1">
    <dbPr connection="Provider=Microsoft.Mashup.OleDb.1;Data Source=$Workbook$;Location=financial_data_cleaned;Extended Properties=&quot;&quot;" command="SELECT * FROM [financial_data_cleaned]"/>
  </connection>
</connections>
</file>

<file path=xl/sharedStrings.xml><?xml version="1.0" encoding="utf-8"?>
<sst xmlns="http://schemas.openxmlformats.org/spreadsheetml/2006/main" count="136" uniqueCount="27">
  <si>
    <t>Date</t>
  </si>
  <si>
    <t>Company</t>
  </si>
  <si>
    <t>Sector</t>
  </si>
  <si>
    <t>Revenue</t>
  </si>
  <si>
    <t>Cost</t>
  </si>
  <si>
    <t>Region</t>
  </si>
  <si>
    <t>Profit</t>
  </si>
  <si>
    <t>Profit_Margin_%</t>
  </si>
  <si>
    <t>Month</t>
  </si>
  <si>
    <t>Performance_Category</t>
  </si>
  <si>
    <t>Revenue_Band</t>
  </si>
  <si>
    <t>Apple</t>
  </si>
  <si>
    <t>Technology</t>
  </si>
  <si>
    <t>USA</t>
  </si>
  <si>
    <t>Medium</t>
  </si>
  <si>
    <t>Medium Revenue</t>
  </si>
  <si>
    <t>Microsoft</t>
  </si>
  <si>
    <t>Tesla</t>
  </si>
  <si>
    <t>Automotive</t>
  </si>
  <si>
    <t>Low</t>
  </si>
  <si>
    <t>Low Revenue</t>
  </si>
  <si>
    <t>Barclays</t>
  </si>
  <si>
    <t>Banking</t>
  </si>
  <si>
    <t>UK</t>
  </si>
  <si>
    <t>High</t>
  </si>
  <si>
    <t>Hsbc</t>
  </si>
  <si>
    <t>High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</si>
</sst>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1AE6EF-F99E-4D6C-B6FD-A03AB2A0B9EE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Company" tableColumnId="2"/>
      <queryTableField id="3" name="Sector" tableColumnId="3"/>
      <queryTableField id="4" name="Revenue" tableColumnId="4"/>
      <queryTableField id="5" name="Cost" tableColumnId="5"/>
      <queryTableField id="6" name="Region" tableColumnId="6"/>
      <queryTableField id="7" name="Profit" tableColumnId="7"/>
      <queryTableField id="8" name="Profit_Margin_%" tableColumnId="8"/>
      <queryTableField id="9" name="Month" tableColumnId="9"/>
      <queryTableField id="10" name="Performance_Category" tableColumnId="10"/>
      <queryTableField id="11" name="Revenue_Ban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75D38-E44C-43AF-9964-1A9092A4F277}" name="financial_data_cleaned" displayName="financial_data_cleaned" ref="A1:K26" tableType="queryTable" totalsRowShown="0">
  <autoFilter ref="A1:K26" xr:uid="{5E375D38-E44C-43AF-9964-1A9092A4F277}"/>
  <tableColumns count="11">
    <tableColumn id="1" xr3:uid="{B518BF9B-AD88-4AA9-A5A8-230DFA8CAAFC}" uniqueName="1" name="Date" queryTableFieldId="1" dataDxfId="6"/>
    <tableColumn id="2" xr3:uid="{6CF8B216-F9FF-4F2F-A7DE-4FCB36863481}" uniqueName="2" name="Company" queryTableFieldId="2" dataDxfId="5"/>
    <tableColumn id="3" xr3:uid="{AB128E77-3F85-43A8-90E6-D7542F340995}" uniqueName="3" name="Sector" queryTableFieldId="3" dataDxfId="4"/>
    <tableColumn id="4" xr3:uid="{D298C978-C346-4151-B85B-3DC6D3D291AD}" uniqueName="4" name="Revenue" queryTableFieldId="4"/>
    <tableColumn id="5" xr3:uid="{20A46CC8-D5A5-4D5E-B11B-5AFB32A54355}" uniqueName="5" name="Cost" queryTableFieldId="5"/>
    <tableColumn id="6" xr3:uid="{A4C090A6-4E9E-43BE-B7C7-E3CC030ABC0F}" uniqueName="6" name="Region" queryTableFieldId="6" dataDxfId="3"/>
    <tableColumn id="7" xr3:uid="{5E7EB604-2BF2-484B-8168-11A0D6486FBF}" uniqueName="7" name="Profit" queryTableFieldId="7"/>
    <tableColumn id="8" xr3:uid="{1547D403-A852-47E2-84DB-C84902BDD2F4}" uniqueName="8" name="Profit_Margin_%" queryTableFieldId="8"/>
    <tableColumn id="9" xr3:uid="{BB0EE288-A86C-49DB-BA70-7125C713A314}" uniqueName="9" name="Month" queryTableFieldId="9" dataDxfId="2"/>
    <tableColumn id="10" xr3:uid="{EF3F7BA2-8E08-487B-AD43-6FA01E41AEE4}" uniqueName="10" name="Performance_Category" queryTableFieldId="10" dataDxfId="1"/>
    <tableColumn id="11" xr3:uid="{6B149153-69A6-4A38-A921-052021462FF7}" uniqueName="11" name="Revenue_Band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7:H11"/>
  <sheetViews>
    <sheetView workbookViewId="0">
      <selection activeCell="G10" sqref="G10"/>
    </sheetView>
  </sheetViews>
  <sheetFormatPr defaultRowHeight="15"/>
  <sheetData>
    <row r="7" spans="5:8">
      <c r="E7" s="1"/>
    </row>
    <row r="8" spans="5:8">
      <c r="H8">
        <f>E6+F8</f>
        <v>0</v>
      </c>
    </row>
    <row r="11" spans="5:8">
      <c r="G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BB4B-95E1-4AC3-B53E-5E7DA7D937F8}">
  <dimension ref="A1:K26"/>
  <sheetViews>
    <sheetView workbookViewId="0"/>
  </sheetViews>
  <sheetFormatPr defaultRowHeight="15"/>
  <cols>
    <col min="1" max="1" width="10.42578125" bestFit="1" customWidth="1"/>
    <col min="2" max="2" width="11.85546875" bestFit="1" customWidth="1"/>
    <col min="3" max="3" width="11.42578125" bestFit="1" customWidth="1"/>
    <col min="4" max="4" width="11.140625" bestFit="1" customWidth="1"/>
    <col min="5" max="5" width="7.28515625" bestFit="1" customWidth="1"/>
    <col min="6" max="6" width="9.5703125" bestFit="1" customWidth="1"/>
    <col min="7" max="7" width="8.42578125" bestFit="1" customWidth="1"/>
    <col min="8" max="8" width="18.7109375" bestFit="1" customWidth="1"/>
    <col min="9" max="9" width="9.42578125" bestFit="1" customWidth="1"/>
    <col min="10" max="10" width="24.42578125" bestFit="1" customWidth="1"/>
    <col min="11" max="11" width="17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>
        <v>46027</v>
      </c>
      <c r="B2" s="3" t="s">
        <v>11</v>
      </c>
      <c r="C2" s="3" t="s">
        <v>12</v>
      </c>
      <c r="D2">
        <v>120000</v>
      </c>
      <c r="E2">
        <v>80000</v>
      </c>
      <c r="F2" s="3" t="s">
        <v>13</v>
      </c>
      <c r="G2">
        <v>40000</v>
      </c>
      <c r="H2">
        <v>33.33</v>
      </c>
      <c r="I2" s="2">
        <v>46023</v>
      </c>
      <c r="J2" s="3" t="s">
        <v>14</v>
      </c>
      <c r="K2" s="3" t="s">
        <v>15</v>
      </c>
    </row>
    <row r="3" spans="1:11">
      <c r="A3" s="2">
        <v>46034</v>
      </c>
      <c r="B3" s="3" t="s">
        <v>16</v>
      </c>
      <c r="C3" s="3" t="s">
        <v>12</v>
      </c>
      <c r="D3">
        <v>110000</v>
      </c>
      <c r="E3">
        <v>72000</v>
      </c>
      <c r="F3" s="3" t="s">
        <v>13</v>
      </c>
      <c r="G3">
        <v>38000</v>
      </c>
      <c r="H3">
        <v>34.549999999999997</v>
      </c>
      <c r="I3" s="2">
        <v>46023</v>
      </c>
      <c r="J3" s="3" t="s">
        <v>14</v>
      </c>
      <c r="K3" s="3" t="s">
        <v>15</v>
      </c>
    </row>
    <row r="4" spans="1:11">
      <c r="A4" s="2">
        <v>46041</v>
      </c>
      <c r="B4" s="3" t="s">
        <v>17</v>
      </c>
      <c r="C4" s="3" t="s">
        <v>18</v>
      </c>
      <c r="D4">
        <v>90000</v>
      </c>
      <c r="E4">
        <v>70000</v>
      </c>
      <c r="F4" s="3" t="s">
        <v>13</v>
      </c>
      <c r="G4">
        <v>20000</v>
      </c>
      <c r="H4">
        <v>22.22</v>
      </c>
      <c r="I4" s="2">
        <v>46023</v>
      </c>
      <c r="J4" s="3" t="s">
        <v>19</v>
      </c>
      <c r="K4" s="3" t="s">
        <v>20</v>
      </c>
    </row>
    <row r="5" spans="1:11">
      <c r="A5" s="2">
        <v>46048</v>
      </c>
      <c r="B5" s="3" t="s">
        <v>21</v>
      </c>
      <c r="C5" s="3" t="s">
        <v>22</v>
      </c>
      <c r="D5">
        <v>85000</v>
      </c>
      <c r="E5">
        <v>50000</v>
      </c>
      <c r="F5" s="3" t="s">
        <v>23</v>
      </c>
      <c r="G5">
        <v>35000</v>
      </c>
      <c r="H5">
        <v>41.18</v>
      </c>
      <c r="I5" s="2">
        <v>46023</v>
      </c>
      <c r="J5" s="3" t="s">
        <v>24</v>
      </c>
      <c r="K5" s="3" t="s">
        <v>20</v>
      </c>
    </row>
    <row r="6" spans="1:11">
      <c r="A6" s="2">
        <v>46055</v>
      </c>
      <c r="B6" s="3" t="s">
        <v>25</v>
      </c>
      <c r="C6" s="3" t="s">
        <v>22</v>
      </c>
      <c r="D6">
        <v>95000</v>
      </c>
      <c r="E6">
        <v>55000</v>
      </c>
      <c r="F6" s="3" t="s">
        <v>23</v>
      </c>
      <c r="G6">
        <v>40000</v>
      </c>
      <c r="H6">
        <v>42.11</v>
      </c>
      <c r="I6" s="2">
        <v>46054</v>
      </c>
      <c r="J6" s="3" t="s">
        <v>24</v>
      </c>
      <c r="K6" s="3" t="s">
        <v>20</v>
      </c>
    </row>
    <row r="7" spans="1:11">
      <c r="A7" s="2">
        <v>46062</v>
      </c>
      <c r="B7" s="3" t="s">
        <v>11</v>
      </c>
      <c r="C7" s="3" t="s">
        <v>12</v>
      </c>
      <c r="D7">
        <v>130000</v>
      </c>
      <c r="E7">
        <v>85000</v>
      </c>
      <c r="F7" s="3" t="s">
        <v>13</v>
      </c>
      <c r="G7">
        <v>45000</v>
      </c>
      <c r="H7">
        <v>34.619999999999997</v>
      </c>
      <c r="I7" s="2">
        <v>46054</v>
      </c>
      <c r="J7" s="3" t="s">
        <v>14</v>
      </c>
      <c r="K7" s="3" t="s">
        <v>26</v>
      </c>
    </row>
    <row r="8" spans="1:11">
      <c r="A8" s="2">
        <v>46069</v>
      </c>
      <c r="B8" s="3" t="s">
        <v>16</v>
      </c>
      <c r="C8" s="3" t="s">
        <v>12</v>
      </c>
      <c r="D8">
        <v>125000</v>
      </c>
      <c r="E8">
        <v>78000</v>
      </c>
      <c r="F8" s="3" t="s">
        <v>13</v>
      </c>
      <c r="G8">
        <v>47000</v>
      </c>
      <c r="H8">
        <v>37.6</v>
      </c>
      <c r="I8" s="2">
        <v>46054</v>
      </c>
      <c r="J8" s="3" t="s">
        <v>14</v>
      </c>
      <c r="K8" s="3" t="s">
        <v>15</v>
      </c>
    </row>
    <row r="9" spans="1:11">
      <c r="A9" s="2">
        <v>46076</v>
      </c>
      <c r="B9" s="3" t="s">
        <v>17</v>
      </c>
      <c r="C9" s="3" t="s">
        <v>18</v>
      </c>
      <c r="D9">
        <v>101000</v>
      </c>
      <c r="E9">
        <v>68000</v>
      </c>
      <c r="F9" s="3" t="s">
        <v>13</v>
      </c>
      <c r="G9">
        <v>33000</v>
      </c>
      <c r="H9">
        <v>32.67</v>
      </c>
      <c r="I9" s="2">
        <v>46054</v>
      </c>
      <c r="J9" s="3" t="s">
        <v>14</v>
      </c>
      <c r="K9" s="3" t="s">
        <v>15</v>
      </c>
    </row>
    <row r="10" spans="1:11">
      <c r="A10" s="2">
        <v>46083</v>
      </c>
      <c r="B10" s="3" t="s">
        <v>21</v>
      </c>
      <c r="C10" s="3" t="s">
        <v>22</v>
      </c>
      <c r="D10">
        <v>92000</v>
      </c>
      <c r="E10">
        <v>52000</v>
      </c>
      <c r="F10" s="3" t="s">
        <v>23</v>
      </c>
      <c r="G10">
        <v>40000</v>
      </c>
      <c r="H10">
        <v>43.48</v>
      </c>
      <c r="I10" s="2">
        <v>46082</v>
      </c>
      <c r="J10" s="3" t="s">
        <v>24</v>
      </c>
      <c r="K10" s="3" t="s">
        <v>20</v>
      </c>
    </row>
    <row r="11" spans="1:11">
      <c r="A11" s="2">
        <v>46090</v>
      </c>
      <c r="B11" s="3" t="s">
        <v>25</v>
      </c>
      <c r="C11" s="3" t="s">
        <v>22</v>
      </c>
      <c r="D11">
        <v>97000</v>
      </c>
      <c r="E11">
        <v>57000</v>
      </c>
      <c r="F11" s="3" t="s">
        <v>23</v>
      </c>
      <c r="G11">
        <v>40000</v>
      </c>
      <c r="H11">
        <v>41.24</v>
      </c>
      <c r="I11" s="2">
        <v>46082</v>
      </c>
      <c r="J11" s="3" t="s">
        <v>24</v>
      </c>
      <c r="K11" s="3" t="s">
        <v>20</v>
      </c>
    </row>
    <row r="12" spans="1:11">
      <c r="A12" s="2">
        <v>46097</v>
      </c>
      <c r="B12" s="3" t="s">
        <v>11</v>
      </c>
      <c r="C12" s="3" t="s">
        <v>12</v>
      </c>
      <c r="D12">
        <v>140000</v>
      </c>
      <c r="E12">
        <v>90000</v>
      </c>
      <c r="F12" s="3" t="s">
        <v>13</v>
      </c>
      <c r="G12">
        <v>50000</v>
      </c>
      <c r="H12">
        <v>35.71</v>
      </c>
      <c r="I12" s="2">
        <v>46082</v>
      </c>
      <c r="J12" s="3" t="s">
        <v>14</v>
      </c>
      <c r="K12" s="3" t="s">
        <v>26</v>
      </c>
    </row>
    <row r="13" spans="1:11">
      <c r="A13" s="2">
        <v>46104</v>
      </c>
      <c r="B13" s="3" t="s">
        <v>16</v>
      </c>
      <c r="C13" s="3" t="s">
        <v>12</v>
      </c>
      <c r="D13">
        <v>135000</v>
      </c>
      <c r="E13">
        <v>82000</v>
      </c>
      <c r="F13" s="3" t="s">
        <v>13</v>
      </c>
      <c r="G13">
        <v>53000</v>
      </c>
      <c r="H13">
        <v>39.26</v>
      </c>
      <c r="I13" s="2">
        <v>46082</v>
      </c>
      <c r="J13" s="3" t="s">
        <v>14</v>
      </c>
      <c r="K13" s="3" t="s">
        <v>26</v>
      </c>
    </row>
    <row r="14" spans="1:11">
      <c r="A14" s="2">
        <v>46111</v>
      </c>
      <c r="B14" s="3" t="s">
        <v>17</v>
      </c>
      <c r="C14" s="3" t="s">
        <v>18</v>
      </c>
      <c r="D14">
        <v>100000</v>
      </c>
      <c r="E14">
        <v>72000</v>
      </c>
      <c r="F14" s="3" t="s">
        <v>13</v>
      </c>
      <c r="G14">
        <v>28000</v>
      </c>
      <c r="H14">
        <v>28</v>
      </c>
      <c r="I14" s="2">
        <v>46082</v>
      </c>
      <c r="J14" s="3" t="s">
        <v>19</v>
      </c>
      <c r="K14" s="3" t="s">
        <v>15</v>
      </c>
    </row>
    <row r="15" spans="1:11">
      <c r="A15" s="2">
        <v>46118</v>
      </c>
      <c r="B15" s="3" t="s">
        <v>21</v>
      </c>
      <c r="C15" s="3" t="s">
        <v>22</v>
      </c>
      <c r="D15">
        <v>95000</v>
      </c>
      <c r="E15">
        <v>54000</v>
      </c>
      <c r="F15" s="3" t="s">
        <v>23</v>
      </c>
      <c r="G15">
        <v>41000</v>
      </c>
      <c r="H15">
        <v>43.16</v>
      </c>
      <c r="I15" s="2">
        <v>46113</v>
      </c>
      <c r="J15" s="3" t="s">
        <v>24</v>
      </c>
      <c r="K15" s="3" t="s">
        <v>20</v>
      </c>
    </row>
    <row r="16" spans="1:11">
      <c r="A16" s="2">
        <v>46125</v>
      </c>
      <c r="B16" s="3" t="s">
        <v>25</v>
      </c>
      <c r="C16" s="3" t="s">
        <v>22</v>
      </c>
      <c r="D16">
        <v>105000</v>
      </c>
      <c r="E16">
        <v>60000</v>
      </c>
      <c r="F16" s="3" t="s">
        <v>23</v>
      </c>
      <c r="G16">
        <v>45000</v>
      </c>
      <c r="H16">
        <v>42.86</v>
      </c>
      <c r="I16" s="2">
        <v>46113</v>
      </c>
      <c r="J16" s="3" t="s">
        <v>24</v>
      </c>
      <c r="K16" s="3" t="s">
        <v>15</v>
      </c>
    </row>
    <row r="17" spans="1:11">
      <c r="A17" s="2">
        <v>46132</v>
      </c>
      <c r="B17" s="3" t="s">
        <v>11</v>
      </c>
      <c r="C17" s="3" t="s">
        <v>12</v>
      </c>
      <c r="D17">
        <v>145000</v>
      </c>
      <c r="E17">
        <v>92000</v>
      </c>
      <c r="F17" s="3" t="s">
        <v>13</v>
      </c>
      <c r="G17">
        <v>53000</v>
      </c>
      <c r="H17">
        <v>36.549999999999997</v>
      </c>
      <c r="I17" s="2">
        <v>46113</v>
      </c>
      <c r="J17" s="3" t="s">
        <v>14</v>
      </c>
      <c r="K17" s="3" t="s">
        <v>26</v>
      </c>
    </row>
    <row r="18" spans="1:11">
      <c r="A18" s="2">
        <v>46139</v>
      </c>
      <c r="B18" s="3" t="s">
        <v>16</v>
      </c>
      <c r="C18" s="3" t="s">
        <v>12</v>
      </c>
      <c r="D18">
        <v>138000</v>
      </c>
      <c r="E18">
        <v>84000</v>
      </c>
      <c r="F18" s="3" t="s">
        <v>13</v>
      </c>
      <c r="G18">
        <v>54000</v>
      </c>
      <c r="H18">
        <v>39.130000000000003</v>
      </c>
      <c r="I18" s="2">
        <v>46113</v>
      </c>
      <c r="J18" s="3" t="s">
        <v>14</v>
      </c>
      <c r="K18" s="3" t="s">
        <v>26</v>
      </c>
    </row>
    <row r="19" spans="1:11">
      <c r="A19" s="2">
        <v>46146</v>
      </c>
      <c r="B19" s="3" t="s">
        <v>17</v>
      </c>
      <c r="C19" s="3" t="s">
        <v>18</v>
      </c>
      <c r="D19">
        <v>102000</v>
      </c>
      <c r="E19">
        <v>74000</v>
      </c>
      <c r="F19" s="3" t="s">
        <v>13</v>
      </c>
      <c r="G19">
        <v>28000</v>
      </c>
      <c r="H19">
        <v>27.45</v>
      </c>
      <c r="I19" s="2">
        <v>46143</v>
      </c>
      <c r="J19" s="3" t="s">
        <v>19</v>
      </c>
      <c r="K19" s="3" t="s">
        <v>15</v>
      </c>
    </row>
    <row r="20" spans="1:11">
      <c r="A20" s="2">
        <v>46153</v>
      </c>
      <c r="B20" s="3" t="s">
        <v>21</v>
      </c>
      <c r="C20" s="3" t="s">
        <v>22</v>
      </c>
      <c r="D20">
        <v>98000</v>
      </c>
      <c r="E20">
        <v>56000</v>
      </c>
      <c r="F20" s="3" t="s">
        <v>23</v>
      </c>
      <c r="G20">
        <v>42000</v>
      </c>
      <c r="H20">
        <v>42.86</v>
      </c>
      <c r="I20" s="2">
        <v>46143</v>
      </c>
      <c r="J20" s="3" t="s">
        <v>24</v>
      </c>
      <c r="K20" s="3" t="s">
        <v>20</v>
      </c>
    </row>
    <row r="21" spans="1:11">
      <c r="A21" s="2">
        <v>46160</v>
      </c>
      <c r="B21" s="3" t="s">
        <v>25</v>
      </c>
      <c r="C21" s="3" t="s">
        <v>22</v>
      </c>
      <c r="D21">
        <v>108000</v>
      </c>
      <c r="E21">
        <v>62000</v>
      </c>
      <c r="F21" s="3" t="s">
        <v>23</v>
      </c>
      <c r="G21">
        <v>46000</v>
      </c>
      <c r="H21">
        <v>42.59</v>
      </c>
      <c r="I21" s="2">
        <v>46143</v>
      </c>
      <c r="J21" s="3" t="s">
        <v>24</v>
      </c>
      <c r="K21" s="3" t="s">
        <v>15</v>
      </c>
    </row>
    <row r="22" spans="1:11">
      <c r="A22" s="2">
        <v>46167</v>
      </c>
      <c r="B22" s="3" t="s">
        <v>11</v>
      </c>
      <c r="C22" s="3" t="s">
        <v>12</v>
      </c>
      <c r="D22">
        <v>150000</v>
      </c>
      <c r="E22">
        <v>95000</v>
      </c>
      <c r="F22" s="3" t="s">
        <v>13</v>
      </c>
      <c r="G22">
        <v>55000</v>
      </c>
      <c r="H22">
        <v>36.67</v>
      </c>
      <c r="I22" s="2">
        <v>46143</v>
      </c>
      <c r="J22" s="3" t="s">
        <v>14</v>
      </c>
      <c r="K22" s="3" t="s">
        <v>26</v>
      </c>
    </row>
    <row r="23" spans="1:11">
      <c r="A23" s="2">
        <v>46174</v>
      </c>
      <c r="B23" s="3" t="s">
        <v>16</v>
      </c>
      <c r="C23" s="3" t="s">
        <v>12</v>
      </c>
      <c r="D23">
        <v>142000</v>
      </c>
      <c r="E23">
        <v>86000</v>
      </c>
      <c r="F23" s="3" t="s">
        <v>13</v>
      </c>
      <c r="G23">
        <v>56000</v>
      </c>
      <c r="H23">
        <v>39.44</v>
      </c>
      <c r="I23" s="2">
        <v>46174</v>
      </c>
      <c r="J23" s="3" t="s">
        <v>14</v>
      </c>
      <c r="K23" s="3" t="s">
        <v>26</v>
      </c>
    </row>
    <row r="24" spans="1:11">
      <c r="A24" s="2">
        <v>46181</v>
      </c>
      <c r="B24" s="3" t="s">
        <v>17</v>
      </c>
      <c r="C24" s="3" t="s">
        <v>18</v>
      </c>
      <c r="D24">
        <v>106000</v>
      </c>
      <c r="E24">
        <v>76000</v>
      </c>
      <c r="F24" s="3" t="s">
        <v>13</v>
      </c>
      <c r="G24">
        <v>30000</v>
      </c>
      <c r="H24">
        <v>28.3</v>
      </c>
      <c r="I24" s="2">
        <v>46174</v>
      </c>
      <c r="J24" s="3" t="s">
        <v>19</v>
      </c>
      <c r="K24" s="3" t="s">
        <v>15</v>
      </c>
    </row>
    <row r="25" spans="1:11">
      <c r="A25" s="2">
        <v>46188</v>
      </c>
      <c r="B25" s="3" t="s">
        <v>21</v>
      </c>
      <c r="C25" s="3" t="s">
        <v>22</v>
      </c>
      <c r="D25">
        <v>101000</v>
      </c>
      <c r="E25">
        <v>58000</v>
      </c>
      <c r="F25" s="3" t="s">
        <v>23</v>
      </c>
      <c r="G25">
        <v>43000</v>
      </c>
      <c r="H25">
        <v>42.57</v>
      </c>
      <c r="I25" s="2">
        <v>46174</v>
      </c>
      <c r="J25" s="3" t="s">
        <v>24</v>
      </c>
      <c r="K25" s="3" t="s">
        <v>15</v>
      </c>
    </row>
    <row r="26" spans="1:11">
      <c r="A26" s="2">
        <v>46195</v>
      </c>
      <c r="B26" s="3" t="s">
        <v>25</v>
      </c>
      <c r="C26" s="3" t="s">
        <v>22</v>
      </c>
      <c r="D26">
        <v>112000</v>
      </c>
      <c r="E26">
        <v>64000</v>
      </c>
      <c r="F26" s="3" t="s">
        <v>23</v>
      </c>
      <c r="G26">
        <v>48000</v>
      </c>
      <c r="H26">
        <v>42.86</v>
      </c>
      <c r="I26" s="2">
        <v>46174</v>
      </c>
      <c r="J26" s="3" t="s">
        <v>24</v>
      </c>
      <c r="K26" s="3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72355E-FC26-4903-8638-E3C30862F7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2026-09-25T14:26:23Z</dcterms:created>
  <dcterms:modified xsi:type="dcterms:W3CDTF">2026-09-28T18:47:19Z</dcterms:modified>
  <cp:category/>
  <cp:contentStatus/>
</cp:coreProperties>
</file>